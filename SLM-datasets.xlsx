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<sst xmlns="http://schemas.openxmlformats.org/spreadsheetml/2006/main" count="143" uniqueCount="42">
  <si>
    <t>Num</t>
  </si>
  <si>
    <t>Ti/wt</t>
  </si>
  <si>
    <t>Mo/wt</t>
  </si>
  <si>
    <t>Nb/wt</t>
  </si>
  <si>
    <t>Sn/wt</t>
  </si>
  <si>
    <t>Ta/wt</t>
  </si>
  <si>
    <t>Zr/wt</t>
  </si>
  <si>
    <t>Laser power(W)</t>
  </si>
  <si>
    <t>Laser scan speed(mm/s)</t>
  </si>
  <si>
    <t>Hatch spacing(mm)</t>
  </si>
  <si>
    <t>Layer thickness (mm)</t>
  </si>
  <si>
    <t>E</t>
  </si>
  <si>
    <t>Scan Strategy</t>
  </si>
  <si>
    <t>Interlayer rotation</t>
  </si>
  <si>
    <t>Relative Density</t>
  </si>
  <si>
    <t>Elastic modulus/GPa</t>
  </si>
  <si>
    <t>Yield strength/MPa</t>
  </si>
  <si>
    <t>Tensile strength/MPa</t>
  </si>
  <si>
    <t>e</t>
  </si>
  <si>
    <t>epsilon_uts</t>
  </si>
  <si>
    <t>sigma_f</t>
  </si>
  <si>
    <t>ref</t>
  </si>
  <si>
    <t>Chess</t>
  </si>
  <si>
    <t>Sing S L, Yeong W Y, Wiria F E. Selective laser melting of titanium alloy with 50 wt% tantalum: Microstructure and mechanical properties[J]. Journal of Alloys and Compounds, 2016, 660: 461-470.</t>
  </si>
  <si>
    <t>Bidirectional</t>
  </si>
  <si>
    <t>Kang N, Li Y, Lin X, et al. Microstructure and tensile properties of Ti-Mo alloys manufactured via using laser powder bed fusion[J]. Journal of Alloys and Compounds, 2019, 771: 877-884.</t>
  </si>
  <si>
    <t>Ummethala R, Karamched P S, Rathinavelu S, et al. Selective laser melting of high-strength, low-modulus Ti–35Nb–7Zr–5Ta alloy[J]. Materialia, 2020, 14: 100941.</t>
  </si>
  <si>
    <t>Chen W, Chen C, Zi X, et al. Controlling the microstructure and mechanical properties of a metastable β titanium alloy by selective laser melting[J]. Materials Science and Engineering: A, 2018, 726: 240-250.</t>
  </si>
  <si>
    <t>Polozov I, Nefyodova V, Zolotarev A, et al. Development of low-modulus Ti-Ta alloys by in-situ synthesis during selective laser melting for implant applications[J]. Journal of Alloys and Compounds, 2025, 1021: 179682.</t>
  </si>
  <si>
    <t>Schaal H, Castany P, Laheurte P, et al. Design of a low Young’s modulus Ti-Zr-Nb-Sn biocompatible alloy by in situ laser powder bed fusion additive manufacturing process[J]. Journal of Alloys and Compounds, 2023, 966: 171539.</t>
  </si>
  <si>
    <t>Pilz S, Gustmann T, Günther F, et al. Controlling the Young’s modulus of a ß-type Ti-Nb alloy via strong texturing by LPBF[J]. Materials &amp; Design, 2022, 216: 110516.</t>
  </si>
  <si>
    <t/>
  </si>
  <si>
    <t>Liang R, Jiang Y, Tao J, et al. Customizing the Young's modulus of Ti–Mo–Zr alloys by in situ additive manufacturing based on Mo spatial concentration modulation[J]. Journal of Materials Research and Technology, 2024, 29: 5607-5619.</t>
  </si>
  <si>
    <t>chess</t>
  </si>
  <si>
    <t>Kong W, Cox S C, Lu Y, et al. The influence of zirconium content on the microstructure, mechanical properties, and biocompatibility of in-situ alloying Ti-Nb-Ta based β alloys processed by selective laser melting[J]. Materials Science and Engineering: C, 2021, 131: 112486.</t>
  </si>
  <si>
    <t>Wang J, Liu Y, Rabadia C D, et al. Microstructural homogeneity and mechanical behavior of a selective laser melted Ti-35Nb alloy produced from an elemental powder mixture[J]. Journal of Materials Science &amp; Technology, 2021, 61: 221-233.</t>
  </si>
  <si>
    <t>Zhou L, Yuan T, Li R, et al. Anisotropic mechanical behavior of biomedical Ti-13Nb-13Zr alloy manufactured by selective laser melting[J]. Journal of Alloys and Compounds, 2018, 762: 289-300.</t>
  </si>
  <si>
    <t>Zhang J W, Dong Y P, Tang J C, et al. Additive manufacturing of the high-strength and low modulus biomedical Ti-10 Nb alloy under reactive atmosphere[J]. Materials Today Communications, 2022, 33: 104837.</t>
  </si>
  <si>
    <t>Luo J P, Sun J F, Huang Y J, et al. Low-modulus biomedical Ti–30Nb–5Ta–3Zr additively manufactured by Selective Laser Melting and its biocompatibility[J]. Materials Science and Engineering: C, 2019, 97: 275-284.</t>
  </si>
  <si>
    <t>Alabort E, Tang Y T, Barba D, et al. Alloys-by-design: A low-modulus titanium alloy for additively manufactured biomedical implants[J]. Acta Materialia, 2022, 229: 117749.</t>
  </si>
  <si>
    <t>Zhang L C, Klemm D, Eckert J, et al. Manufacture by selective laser melting and mechanical behavior of a biomedical Ti–24Nb–4Zr–8Sn alloy[J]. Scripta Materialia, 2011, 65(1): 21-24.</t>
  </si>
  <si>
    <t>Laboratory preparation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</si>
</sst>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8090C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theme="1"/>
      </left>
      <right style="thin">
        <color rgb="FFFFFFFF"/>
      </right>
      <top style="thin">
        <color theme="1"/>
      </top>
      <bottom style="thin">
        <color theme="1" tint="0.66"/>
      </bottom>
      <diagonal/>
    </border>
    <border>
      <left style="thin">
        <color rgb="FFFFFFFF"/>
      </left>
      <right style="thin">
        <color rgb="FFFFFFFF"/>
      </right>
      <top style="thin">
        <color theme="1"/>
      </top>
      <bottom style="thin">
        <color theme="1" tint="0.66"/>
      </bottom>
      <diagonal/>
    </border>
    <border>
      <left style="thin">
        <color rgb="FFFFFFFF"/>
      </left>
      <right style="thin">
        <color theme="1"/>
      </right>
      <top style="thin">
        <color theme="1"/>
      </top>
      <bottom style="thin">
        <color theme="1" tint="0.66"/>
      </bottom>
      <diagonal/>
    </border>
    <border>
      <left style="thin">
        <color theme="1"/>
      </left>
      <right style="thin">
        <color theme="1" tint="0.66"/>
      </right>
      <top/>
      <bottom style="thin">
        <color theme="1" tint="0.66"/>
      </bottom>
      <diagonal/>
    </border>
    <border>
      <left style="thin">
        <color theme="1" tint="0.66"/>
      </left>
      <right style="thin">
        <color theme="1" tint="0.66"/>
      </right>
      <top/>
      <bottom style="thin">
        <color theme="1" tint="0.66"/>
      </bottom>
      <diagonal/>
    </border>
    <border>
      <left style="thin">
        <color theme="1" tint="0.66"/>
      </left>
      <right style="thin">
        <color theme="1"/>
      </right>
      <top/>
      <bottom style="thin">
        <color theme="1" tint="0.66"/>
      </bottom>
      <diagonal/>
    </border>
    <border>
      <left style="thin">
        <color theme="1" tint="0.66"/>
      </left>
      <right style="thin">
        <color theme="1" tint="0.66"/>
      </right>
      <top style="thin">
        <color theme="1" tint="0.66"/>
      </top>
      <bottom style="thin">
        <color theme="1" tint="0.66"/>
      </bottom>
      <diagonal/>
    </border>
    <border>
      <left style="thin">
        <color theme="1" tint="0.66"/>
      </left>
      <right style="thin">
        <color theme="1"/>
      </right>
      <top style="thin">
        <color theme="1" tint="0.66"/>
      </top>
      <bottom style="thin">
        <color theme="1" tint="0.66"/>
      </bottom>
      <diagonal/>
    </border>
    <border>
      <left style="thin">
        <color theme="1" tint="0.66"/>
      </left>
      <right style="thin">
        <color theme="1" tint="0.66"/>
      </right>
      <top style="thin">
        <color theme="1" tint="0.66"/>
      </top>
      <bottom style="thin">
        <color theme="1"/>
      </bottom>
      <diagonal/>
    </border>
    <border>
      <left style="thin">
        <color theme="1" tint="0.66"/>
      </left>
      <right style="thin">
        <color theme="1"/>
      </right>
      <top style="thin">
        <color theme="1" tint="0.66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4" applyNumberFormat="0" applyAlignment="0" applyProtection="0">
      <alignment vertical="center"/>
    </xf>
    <xf numFmtId="0" fontId="12" fillId="6" borderId="15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7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 readingOrder="1"/>
    </xf>
    <xf numFmtId="0" fontId="2" fillId="3" borderId="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bgColor rgb="FFFFFFFF"/>
        </patternFill>
      </fill>
      <border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 tint="0.6"/>
        </left>
        <right style="thin">
          <color theme="1" tint="0.6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ill>
        <patternFill patternType="solid">
          <bgColor theme="1" tint="0.9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"/>
        </vertical>
        <horizontal style="thin">
          <color theme="1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1" tint="0.66"/>
        </left>
        <right style="thin">
          <color theme="1"/>
        </right>
        <top style="thin">
          <color theme="1" tint="0.66"/>
        </top>
        <bottom style="thin">
          <color theme="1"/>
        </bottom>
        <vertical/>
        <horizontal style="thin">
          <color theme="1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 tint="0.66"/>
        </right>
        <top style="thin">
          <color theme="1" tint="0.66"/>
        </top>
        <bottom style="thin">
          <color theme="1"/>
        </bottom>
        <vertical/>
        <horizontal style="thin">
          <color theme="1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6"/>
        </vertical>
        <horizontal style="thin">
          <color theme="1" tint="0.66"/>
        </horizontal>
      </border>
    </dxf>
  </dxfs>
  <tableStyles count="1" defaultTableStyle="TableStyleMedium9" defaultPivotStyle="PivotStyleLight16">
    <tableStyle name="浅色系标题行表格样式_0af9f8" count="10" xr9:uid="{6A54E0E2-EBA1-47E8-B323-A823D0E62D75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7"/>
  <sheetViews>
    <sheetView tabSelected="1" topLeftCell="A16" workbookViewId="0">
      <selection activeCell="L8" sqref="L8"/>
    </sheetView>
  </sheetViews>
  <sheetFormatPr defaultColWidth="9" defaultRowHeight="14"/>
  <cols>
    <col min="1" max="1" width="7.73636363636364" customWidth="1"/>
    <col min="2" max="2" width="7.91818181818182" customWidth="1"/>
    <col min="3" max="3" width="9.55454545454545" customWidth="1"/>
    <col min="4" max="4" width="9.19090909090909" customWidth="1"/>
    <col min="5" max="5" width="8.64545454545454" customWidth="1"/>
    <col min="6" max="6" width="8.46363636363636" customWidth="1"/>
    <col min="7" max="7" width="8.28181818181818" customWidth="1"/>
    <col min="8" max="8" width="18.9181818181818" customWidth="1"/>
    <col min="9" max="9" width="13.6363636363636" customWidth="1"/>
    <col min="10" max="11" width="12.6363636363636" customWidth="1"/>
    <col min="12" max="12" width="14.2818181818182" customWidth="1"/>
    <col min="13" max="13" width="15.9181818181818" customWidth="1"/>
    <col min="14" max="14" width="21.1" customWidth="1"/>
    <col min="15" max="15" width="19.1" customWidth="1"/>
    <col min="16" max="16" width="12.6363636363636" customWidth="1"/>
    <col min="17" max="17" width="22.5545454545455" customWidth="1"/>
    <col min="18" max="18" width="12.6363636363636" customWidth="1"/>
    <col min="19" max="19" width="7.73636363636364" customWidth="1"/>
    <col min="20" max="20" width="13.7363636363636" customWidth="1"/>
    <col min="21" max="21" width="10.2818181818182" customWidth="1"/>
    <col min="22" max="22" width="42.5454545454545" style="1" customWidth="1"/>
  </cols>
  <sheetData>
    <row r="1" ht="49.5" spans="1:2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</row>
    <row r="2" ht="14.5" spans="1:22">
      <c r="A2" s="5">
        <v>1</v>
      </c>
      <c r="B2" s="6">
        <v>50</v>
      </c>
      <c r="C2" s="6">
        <v>0</v>
      </c>
      <c r="D2" s="6">
        <v>0</v>
      </c>
      <c r="E2" s="6">
        <v>0</v>
      </c>
      <c r="F2" s="6">
        <v>50</v>
      </c>
      <c r="G2" s="6">
        <v>0</v>
      </c>
      <c r="H2" s="6">
        <v>360</v>
      </c>
      <c r="I2" s="6">
        <v>400</v>
      </c>
      <c r="J2" s="6">
        <v>0.125</v>
      </c>
      <c r="K2" s="6">
        <v>0.05</v>
      </c>
      <c r="L2" s="6">
        <v>144</v>
      </c>
      <c r="M2" s="6" t="s">
        <v>22</v>
      </c>
      <c r="N2" s="6">
        <v>0</v>
      </c>
      <c r="O2" s="6">
        <v>99.9</v>
      </c>
      <c r="P2" s="6">
        <v>75.77</v>
      </c>
      <c r="Q2" s="6">
        <v>882.77</v>
      </c>
      <c r="R2" s="6">
        <v>924.64</v>
      </c>
      <c r="S2" s="6">
        <v>11.72</v>
      </c>
      <c r="T2" s="6">
        <v>7</v>
      </c>
      <c r="U2" s="6">
        <v>844</v>
      </c>
      <c r="V2" s="7" t="s">
        <v>23</v>
      </c>
    </row>
    <row r="3" ht="14.5" spans="1:22">
      <c r="A3" s="5">
        <v>2</v>
      </c>
      <c r="B3" s="8">
        <v>92.5</v>
      </c>
      <c r="C3" s="8">
        <v>7.5</v>
      </c>
      <c r="D3" s="8">
        <v>0</v>
      </c>
      <c r="E3" s="8">
        <v>0</v>
      </c>
      <c r="F3" s="8">
        <v>0</v>
      </c>
      <c r="G3" s="8">
        <v>0</v>
      </c>
      <c r="H3" s="8">
        <v>200</v>
      </c>
      <c r="I3" s="8">
        <v>1000</v>
      </c>
      <c r="J3" s="8">
        <v>0.1</v>
      </c>
      <c r="K3" s="8">
        <v>0.05</v>
      </c>
      <c r="L3" s="8">
        <v>40</v>
      </c>
      <c r="M3" s="8" t="s">
        <v>24</v>
      </c>
      <c r="N3" s="8">
        <v>67</v>
      </c>
      <c r="O3" s="8">
        <v>99.7</v>
      </c>
      <c r="P3" s="8">
        <v>70.6</v>
      </c>
      <c r="Q3" s="8">
        <v>570</v>
      </c>
      <c r="R3" s="8">
        <v>740</v>
      </c>
      <c r="S3" s="8">
        <v>9.2</v>
      </c>
      <c r="T3" s="8">
        <v>8</v>
      </c>
      <c r="U3" s="8">
        <v>395</v>
      </c>
      <c r="V3" s="9" t="s">
        <v>25</v>
      </c>
    </row>
    <row r="4" ht="14.5" spans="1:22">
      <c r="A4" s="5">
        <v>3</v>
      </c>
      <c r="B4" s="8">
        <v>53</v>
      </c>
      <c r="C4" s="8">
        <v>0</v>
      </c>
      <c r="D4" s="8">
        <v>35</v>
      </c>
      <c r="E4" s="8">
        <v>0</v>
      </c>
      <c r="F4" s="8">
        <v>5</v>
      </c>
      <c r="G4" s="8">
        <v>7</v>
      </c>
      <c r="H4" s="8">
        <v>100</v>
      </c>
      <c r="I4" s="8">
        <v>167</v>
      </c>
      <c r="J4" s="8">
        <v>0.08</v>
      </c>
      <c r="K4" s="8">
        <v>0.05</v>
      </c>
      <c r="L4" s="8">
        <v>149.700598802395</v>
      </c>
      <c r="M4" s="8" t="s">
        <v>24</v>
      </c>
      <c r="N4" s="8">
        <v>60</v>
      </c>
      <c r="O4" s="8">
        <v>99.87</v>
      </c>
      <c r="P4" s="8">
        <v>81</v>
      </c>
      <c r="Q4" s="8">
        <v>309</v>
      </c>
      <c r="R4" s="8">
        <v>631</v>
      </c>
      <c r="S4" s="8">
        <v>15</v>
      </c>
      <c r="T4" s="8">
        <v>9</v>
      </c>
      <c r="U4" s="8">
        <v>570</v>
      </c>
      <c r="V4" s="9" t="s">
        <v>26</v>
      </c>
    </row>
    <row r="5" ht="14.5" spans="1:22">
      <c r="A5" s="5">
        <v>4</v>
      </c>
      <c r="B5" s="8">
        <v>57</v>
      </c>
      <c r="C5" s="8">
        <v>0</v>
      </c>
      <c r="D5" s="8">
        <v>37</v>
      </c>
      <c r="E5" s="8">
        <v>6</v>
      </c>
      <c r="F5" s="8">
        <v>0</v>
      </c>
      <c r="G5" s="8">
        <v>0</v>
      </c>
      <c r="H5" s="8">
        <v>225</v>
      </c>
      <c r="I5" s="8">
        <v>1200</v>
      </c>
      <c r="J5" s="8">
        <v>0.12</v>
      </c>
      <c r="K5" s="8">
        <v>0.03</v>
      </c>
      <c r="L5" s="8">
        <v>52.0833333333333</v>
      </c>
      <c r="M5" s="8" t="s">
        <v>24</v>
      </c>
      <c r="N5" s="8">
        <v>67</v>
      </c>
      <c r="O5" s="8">
        <v>99.84</v>
      </c>
      <c r="P5" s="8">
        <v>75.2</v>
      </c>
      <c r="Q5" s="8">
        <v>734</v>
      </c>
      <c r="R5" s="8">
        <v>867</v>
      </c>
      <c r="S5" s="8">
        <v>17</v>
      </c>
      <c r="T5" s="8">
        <v>8</v>
      </c>
      <c r="U5" s="8">
        <v>412</v>
      </c>
      <c r="V5" s="9" t="s">
        <v>27</v>
      </c>
    </row>
    <row r="6" ht="14.5" spans="1:22">
      <c r="A6" s="5">
        <v>5</v>
      </c>
      <c r="B6" s="8">
        <v>57</v>
      </c>
      <c r="C6" s="8">
        <v>0</v>
      </c>
      <c r="D6" s="8">
        <v>37</v>
      </c>
      <c r="E6" s="8">
        <v>6</v>
      </c>
      <c r="F6" s="8">
        <v>0</v>
      </c>
      <c r="G6" s="8">
        <v>0</v>
      </c>
      <c r="H6" s="8">
        <v>275</v>
      </c>
      <c r="I6" s="8">
        <v>1200</v>
      </c>
      <c r="J6" s="8">
        <v>0.12</v>
      </c>
      <c r="K6" s="8">
        <v>0.03</v>
      </c>
      <c r="L6" s="8">
        <v>63.6574074074074</v>
      </c>
      <c r="M6" s="8" t="s">
        <v>24</v>
      </c>
      <c r="N6" s="8">
        <v>67</v>
      </c>
      <c r="O6" s="8">
        <v>99.81</v>
      </c>
      <c r="P6" s="8">
        <v>75.5</v>
      </c>
      <c r="Q6" s="8">
        <v>750</v>
      </c>
      <c r="R6" s="8">
        <v>871</v>
      </c>
      <c r="S6" s="8">
        <v>17.5</v>
      </c>
      <c r="T6" s="8">
        <v>8</v>
      </c>
      <c r="U6" s="8">
        <v>382</v>
      </c>
      <c r="V6" s="9" t="s">
        <v>27</v>
      </c>
    </row>
    <row r="7" ht="14.5" spans="1:22">
      <c r="A7" s="5">
        <v>6</v>
      </c>
      <c r="B7" s="8">
        <v>57</v>
      </c>
      <c r="C7" s="8">
        <v>0</v>
      </c>
      <c r="D7" s="8">
        <v>37</v>
      </c>
      <c r="E7" s="8">
        <v>6</v>
      </c>
      <c r="F7" s="8">
        <v>0</v>
      </c>
      <c r="G7" s="8">
        <v>0</v>
      </c>
      <c r="H7" s="8">
        <v>225</v>
      </c>
      <c r="I7" s="8">
        <v>800</v>
      </c>
      <c r="J7" s="8">
        <v>0.12</v>
      </c>
      <c r="K7" s="8">
        <v>0.03</v>
      </c>
      <c r="L7" s="8">
        <v>78.125</v>
      </c>
      <c r="M7" s="8" t="s">
        <v>24</v>
      </c>
      <c r="N7" s="8">
        <v>67</v>
      </c>
      <c r="O7" s="8">
        <v>99.71</v>
      </c>
      <c r="P7" s="8">
        <v>74.6</v>
      </c>
      <c r="Q7" s="8">
        <v>746</v>
      </c>
      <c r="R7" s="8">
        <v>873</v>
      </c>
      <c r="S7" s="8">
        <v>21</v>
      </c>
      <c r="T7" s="8">
        <v>8</v>
      </c>
      <c r="U7" s="8">
        <v>500</v>
      </c>
      <c r="V7" s="9" t="s">
        <v>27</v>
      </c>
    </row>
    <row r="8" ht="14.5" spans="1:22">
      <c r="A8" s="5">
        <v>7</v>
      </c>
      <c r="B8" s="8">
        <v>57</v>
      </c>
      <c r="C8" s="8">
        <v>0</v>
      </c>
      <c r="D8" s="8">
        <v>37</v>
      </c>
      <c r="E8" s="8">
        <v>6</v>
      </c>
      <c r="F8" s="8">
        <v>0</v>
      </c>
      <c r="G8" s="8">
        <v>0</v>
      </c>
      <c r="H8" s="8">
        <v>225</v>
      </c>
      <c r="I8" s="8">
        <v>1200</v>
      </c>
      <c r="J8" s="8">
        <v>0.05</v>
      </c>
      <c r="K8" s="8">
        <v>0.03</v>
      </c>
      <c r="L8" s="8">
        <v>125</v>
      </c>
      <c r="M8" s="8" t="s">
        <v>24</v>
      </c>
      <c r="N8" s="8">
        <v>67</v>
      </c>
      <c r="O8" s="8">
        <v>99.69</v>
      </c>
      <c r="P8" s="8">
        <v>66.3</v>
      </c>
      <c r="Q8" s="8">
        <v>775</v>
      </c>
      <c r="R8" s="8">
        <v>891</v>
      </c>
      <c r="S8" s="8">
        <v>27.5</v>
      </c>
      <c r="T8" s="8">
        <v>11</v>
      </c>
      <c r="U8" s="8">
        <v>428</v>
      </c>
      <c r="V8" s="9" t="s">
        <v>27</v>
      </c>
    </row>
    <row r="9" ht="14.5" spans="1:22">
      <c r="A9" s="5">
        <v>8</v>
      </c>
      <c r="B9" s="8">
        <v>57</v>
      </c>
      <c r="C9" s="8">
        <v>0</v>
      </c>
      <c r="D9" s="8">
        <v>37</v>
      </c>
      <c r="E9" s="8">
        <v>6</v>
      </c>
      <c r="F9" s="8">
        <v>0</v>
      </c>
      <c r="G9" s="8">
        <v>0</v>
      </c>
      <c r="H9" s="8">
        <v>225</v>
      </c>
      <c r="I9" s="8">
        <v>800</v>
      </c>
      <c r="J9" s="8">
        <v>0.05</v>
      </c>
      <c r="K9" s="8">
        <v>0.03</v>
      </c>
      <c r="L9" s="8">
        <v>187.5</v>
      </c>
      <c r="M9" s="8" t="s">
        <v>24</v>
      </c>
      <c r="N9" s="8">
        <v>67</v>
      </c>
      <c r="O9" s="8">
        <v>99.07</v>
      </c>
      <c r="P9" s="8">
        <v>72.1</v>
      </c>
      <c r="Q9" s="8">
        <v>794</v>
      </c>
      <c r="R9" s="8">
        <v>886</v>
      </c>
      <c r="S9" s="8">
        <v>25</v>
      </c>
      <c r="T9" s="8">
        <v>11</v>
      </c>
      <c r="U9" s="8">
        <v>429</v>
      </c>
      <c r="V9" s="9" t="s">
        <v>27</v>
      </c>
    </row>
    <row r="10" ht="14.5" spans="1:22">
      <c r="A10" s="5">
        <v>9</v>
      </c>
      <c r="B10" s="8">
        <v>57</v>
      </c>
      <c r="C10" s="8">
        <v>0</v>
      </c>
      <c r="D10" s="8">
        <v>37</v>
      </c>
      <c r="E10" s="8">
        <v>6</v>
      </c>
      <c r="F10" s="8">
        <v>0</v>
      </c>
      <c r="G10" s="8">
        <v>0</v>
      </c>
      <c r="H10" s="8">
        <v>350</v>
      </c>
      <c r="I10" s="8">
        <v>800</v>
      </c>
      <c r="J10" s="8">
        <v>0.05</v>
      </c>
      <c r="K10" s="8">
        <v>0.03</v>
      </c>
      <c r="L10" s="8">
        <v>291.666666666667</v>
      </c>
      <c r="M10" s="8" t="s">
        <v>24</v>
      </c>
      <c r="N10" s="8">
        <v>67</v>
      </c>
      <c r="O10" s="8">
        <v>99.05</v>
      </c>
      <c r="P10" s="8">
        <v>75.5</v>
      </c>
      <c r="Q10" s="8">
        <v>653</v>
      </c>
      <c r="R10" s="8">
        <v>834</v>
      </c>
      <c r="S10" s="8">
        <v>10</v>
      </c>
      <c r="T10" s="8">
        <v>8</v>
      </c>
      <c r="U10" s="8">
        <v>388</v>
      </c>
      <c r="V10" s="9" t="s">
        <v>27</v>
      </c>
    </row>
    <row r="11" ht="14.5" spans="1:22">
      <c r="A11" s="5">
        <v>10</v>
      </c>
      <c r="B11" s="8">
        <v>90</v>
      </c>
      <c r="C11" s="8">
        <v>0</v>
      </c>
      <c r="D11" s="8">
        <v>0</v>
      </c>
      <c r="E11" s="8">
        <v>0</v>
      </c>
      <c r="F11" s="8">
        <v>10</v>
      </c>
      <c r="G11" s="8">
        <v>0</v>
      </c>
      <c r="H11" s="8">
        <v>220</v>
      </c>
      <c r="I11" s="8">
        <v>550</v>
      </c>
      <c r="J11" s="8">
        <v>0.14</v>
      </c>
      <c r="K11" s="8">
        <v>0.03</v>
      </c>
      <c r="L11" s="8">
        <v>95.2380952380952</v>
      </c>
      <c r="M11" s="8" t="s">
        <v>24</v>
      </c>
      <c r="N11" s="8">
        <v>67</v>
      </c>
      <c r="O11" s="8">
        <v>99.9</v>
      </c>
      <c r="P11" s="8">
        <v>118</v>
      </c>
      <c r="Q11" s="8">
        <v>885</v>
      </c>
      <c r="R11" s="8">
        <v>1020</v>
      </c>
      <c r="S11" s="8">
        <v>8.7</v>
      </c>
      <c r="T11" s="8">
        <v>4</v>
      </c>
      <c r="U11" s="8">
        <v>851</v>
      </c>
      <c r="V11" s="9" t="s">
        <v>28</v>
      </c>
    </row>
    <row r="12" ht="14.5" spans="1:22">
      <c r="A12" s="5">
        <v>11</v>
      </c>
      <c r="B12" s="8">
        <v>85</v>
      </c>
      <c r="C12" s="8">
        <v>0</v>
      </c>
      <c r="D12" s="8">
        <v>0</v>
      </c>
      <c r="E12" s="8">
        <v>0</v>
      </c>
      <c r="F12" s="8">
        <v>15</v>
      </c>
      <c r="G12" s="8">
        <v>0</v>
      </c>
      <c r="H12" s="8">
        <v>220</v>
      </c>
      <c r="I12" s="8">
        <v>550</v>
      </c>
      <c r="J12" s="8">
        <v>0.14</v>
      </c>
      <c r="K12" s="8">
        <v>0.03</v>
      </c>
      <c r="L12" s="8">
        <v>95.2380952380952</v>
      </c>
      <c r="M12" s="8" t="s">
        <v>24</v>
      </c>
      <c r="N12" s="8">
        <v>67</v>
      </c>
      <c r="O12" s="8">
        <v>99.4</v>
      </c>
      <c r="P12" s="8">
        <v>110</v>
      </c>
      <c r="Q12" s="8">
        <v>902</v>
      </c>
      <c r="R12" s="8">
        <v>1102</v>
      </c>
      <c r="S12" s="8">
        <v>5.1</v>
      </c>
      <c r="T12" s="8">
        <v>3</v>
      </c>
      <c r="U12" s="8">
        <v>1000</v>
      </c>
      <c r="V12" s="9" t="s">
        <v>28</v>
      </c>
    </row>
    <row r="13" ht="14.5" spans="1:22">
      <c r="A13" s="5">
        <v>12</v>
      </c>
      <c r="B13" s="8">
        <v>80</v>
      </c>
      <c r="C13" s="8">
        <v>0</v>
      </c>
      <c r="D13" s="8">
        <v>0</v>
      </c>
      <c r="E13" s="8">
        <v>0</v>
      </c>
      <c r="F13" s="8">
        <v>20</v>
      </c>
      <c r="G13" s="8">
        <v>0</v>
      </c>
      <c r="H13" s="8">
        <v>220</v>
      </c>
      <c r="I13" s="8">
        <v>550</v>
      </c>
      <c r="J13" s="8">
        <v>0.14</v>
      </c>
      <c r="K13" s="8">
        <v>0.03</v>
      </c>
      <c r="L13" s="8">
        <v>95.2380952380952</v>
      </c>
      <c r="M13" s="8" t="s">
        <v>24</v>
      </c>
      <c r="N13" s="8">
        <v>67</v>
      </c>
      <c r="O13" s="8">
        <v>99.8</v>
      </c>
      <c r="P13" s="8">
        <v>102</v>
      </c>
      <c r="Q13" s="8">
        <v>828</v>
      </c>
      <c r="R13" s="8">
        <v>972</v>
      </c>
      <c r="S13" s="8">
        <v>11.1</v>
      </c>
      <c r="T13" s="8">
        <v>5</v>
      </c>
      <c r="U13" s="8">
        <v>814</v>
      </c>
      <c r="V13" s="9" t="s">
        <v>28</v>
      </c>
    </row>
    <row r="14" ht="14.5" spans="1:22">
      <c r="A14" s="5">
        <v>13</v>
      </c>
      <c r="B14" s="8">
        <v>48.78</v>
      </c>
      <c r="C14" s="8">
        <v>0</v>
      </c>
      <c r="D14" s="8">
        <v>16.03</v>
      </c>
      <c r="E14" s="8">
        <v>3.72</v>
      </c>
      <c r="F14" s="8">
        <v>0</v>
      </c>
      <c r="G14" s="8">
        <v>31.47</v>
      </c>
      <c r="H14" s="8">
        <v>200</v>
      </c>
      <c r="I14" s="8">
        <v>305</v>
      </c>
      <c r="J14" s="8">
        <v>0.06</v>
      </c>
      <c r="K14" s="8">
        <v>0.02</v>
      </c>
      <c r="L14" s="8">
        <v>546.448087431694</v>
      </c>
      <c r="M14" s="8" t="s">
        <v>24</v>
      </c>
      <c r="N14" s="8">
        <v>67</v>
      </c>
      <c r="O14" s="8">
        <v>99.3</v>
      </c>
      <c r="P14" s="8">
        <v>51</v>
      </c>
      <c r="Q14" s="8">
        <v>788</v>
      </c>
      <c r="R14" s="8">
        <v>822</v>
      </c>
      <c r="S14" s="8">
        <v>14.5</v>
      </c>
      <c r="T14" s="8">
        <v>2</v>
      </c>
      <c r="U14" s="8">
        <v>809</v>
      </c>
      <c r="V14" s="9" t="s">
        <v>29</v>
      </c>
    </row>
    <row r="15" ht="14.5" spans="1:22">
      <c r="A15" s="5">
        <v>14</v>
      </c>
      <c r="B15" s="8">
        <v>58</v>
      </c>
      <c r="C15" s="8">
        <v>0</v>
      </c>
      <c r="D15" s="8">
        <v>42</v>
      </c>
      <c r="E15" s="8">
        <v>0</v>
      </c>
      <c r="F15" s="8">
        <v>0</v>
      </c>
      <c r="G15" s="8">
        <v>0</v>
      </c>
      <c r="H15" s="8">
        <v>550</v>
      </c>
      <c r="I15" s="8">
        <v>1100</v>
      </c>
      <c r="J15" s="8">
        <v>0.15</v>
      </c>
      <c r="K15" s="8">
        <v>0.1</v>
      </c>
      <c r="L15" s="8">
        <v>33.3333333333333</v>
      </c>
      <c r="M15" s="8" t="s">
        <v>24</v>
      </c>
      <c r="N15" s="8">
        <v>0</v>
      </c>
      <c r="O15" s="8">
        <v>99.94</v>
      </c>
      <c r="P15" s="8">
        <v>69</v>
      </c>
      <c r="Q15" s="8">
        <v>718</v>
      </c>
      <c r="R15" s="8">
        <v>732</v>
      </c>
      <c r="S15" s="8">
        <v>17</v>
      </c>
      <c r="T15" s="8">
        <v>2</v>
      </c>
      <c r="U15" s="8">
        <v>454</v>
      </c>
      <c r="V15" s="9" t="s">
        <v>30</v>
      </c>
    </row>
    <row r="16" ht="14.5" spans="1:22">
      <c r="A16" s="5">
        <v>15</v>
      </c>
      <c r="B16" s="8">
        <f>100-C16-D16-E16-F16-G16</f>
        <v>92.5</v>
      </c>
      <c r="C16" s="8">
        <v>7.5</v>
      </c>
      <c r="D16" s="8">
        <v>0</v>
      </c>
      <c r="E16" s="8">
        <v>0</v>
      </c>
      <c r="F16" s="8">
        <v>0</v>
      </c>
      <c r="G16" s="8">
        <v>0</v>
      </c>
      <c r="H16" s="8">
        <v>200</v>
      </c>
      <c r="I16" s="8">
        <v>1200</v>
      </c>
      <c r="J16" s="8">
        <v>0.1</v>
      </c>
      <c r="K16" s="8">
        <v>0.05</v>
      </c>
      <c r="L16" s="8">
        <f>H16/I16/J16/K16</f>
        <v>33.3333333333333</v>
      </c>
      <c r="M16" s="8" t="s">
        <v>24</v>
      </c>
      <c r="N16" s="8">
        <v>67</v>
      </c>
      <c r="O16" s="8">
        <v>92.7</v>
      </c>
      <c r="P16" s="8">
        <v>77.2</v>
      </c>
      <c r="Q16" s="8">
        <v>480</v>
      </c>
      <c r="R16" s="8">
        <v>612</v>
      </c>
      <c r="S16" s="8">
        <v>3.8</v>
      </c>
      <c r="T16" s="8">
        <v>3.8</v>
      </c>
      <c r="U16" s="8">
        <v>400</v>
      </c>
      <c r="V16" s="9" t="s">
        <v>25</v>
      </c>
    </row>
    <row r="17" ht="14.5" spans="1:22">
      <c r="A17" s="5">
        <v>16</v>
      </c>
      <c r="B17" s="8">
        <v>76</v>
      </c>
      <c r="C17" s="8">
        <v>18</v>
      </c>
      <c r="D17" s="8">
        <v>0</v>
      </c>
      <c r="E17" s="8">
        <v>0</v>
      </c>
      <c r="F17" s="8">
        <v>0</v>
      </c>
      <c r="G17" s="8">
        <v>6</v>
      </c>
      <c r="H17" s="8">
        <v>250</v>
      </c>
      <c r="I17" s="8">
        <v>1200</v>
      </c>
      <c r="J17" s="8">
        <v>0.06</v>
      </c>
      <c r="K17" s="8">
        <v>0.04</v>
      </c>
      <c r="L17" s="8">
        <v>86.8055555555556</v>
      </c>
      <c r="M17" s="8" t="s">
        <v>24</v>
      </c>
      <c r="N17" s="8">
        <v>0</v>
      </c>
      <c r="O17" s="8" t="s">
        <v>31</v>
      </c>
      <c r="P17" s="8">
        <v>83.6</v>
      </c>
      <c r="Q17" s="8">
        <v>1029</v>
      </c>
      <c r="R17" s="8">
        <v>1045</v>
      </c>
      <c r="S17" s="8">
        <v>3.5</v>
      </c>
      <c r="T17" s="8">
        <v>2</v>
      </c>
      <c r="U17" s="8">
        <v>1030</v>
      </c>
      <c r="V17" s="9" t="s">
        <v>32</v>
      </c>
    </row>
    <row r="18" ht="14.5" spans="1:22">
      <c r="A18" s="5">
        <v>17</v>
      </c>
      <c r="B18" s="8">
        <v>76</v>
      </c>
      <c r="C18" s="8">
        <v>18</v>
      </c>
      <c r="D18" s="8">
        <v>0</v>
      </c>
      <c r="E18" s="8">
        <v>0</v>
      </c>
      <c r="F18" s="8">
        <v>0</v>
      </c>
      <c r="G18" s="8">
        <v>6</v>
      </c>
      <c r="H18" s="8">
        <v>350</v>
      </c>
      <c r="I18" s="8">
        <v>1000</v>
      </c>
      <c r="J18" s="8">
        <v>0.06</v>
      </c>
      <c r="K18" s="8">
        <v>0.04</v>
      </c>
      <c r="L18" s="8">
        <v>145.833333333333</v>
      </c>
      <c r="M18" s="8" t="s">
        <v>24</v>
      </c>
      <c r="N18" s="8">
        <v>0</v>
      </c>
      <c r="O18" s="8" t="s">
        <v>31</v>
      </c>
      <c r="P18" s="8">
        <v>59.3</v>
      </c>
      <c r="Q18" s="8">
        <v>695</v>
      </c>
      <c r="R18" s="8">
        <v>709</v>
      </c>
      <c r="S18" s="8">
        <v>13.1</v>
      </c>
      <c r="T18" s="8">
        <v>1.9</v>
      </c>
      <c r="U18" s="8">
        <v>518</v>
      </c>
      <c r="V18" s="9" t="s">
        <v>32</v>
      </c>
    </row>
    <row r="19" ht="14.5" spans="1:22">
      <c r="A19" s="5">
        <v>18</v>
      </c>
      <c r="B19" s="8">
        <v>76</v>
      </c>
      <c r="C19" s="8">
        <v>18</v>
      </c>
      <c r="D19" s="8">
        <v>0</v>
      </c>
      <c r="E19" s="8">
        <v>0</v>
      </c>
      <c r="F19" s="8">
        <v>0</v>
      </c>
      <c r="G19" s="8">
        <v>6</v>
      </c>
      <c r="H19" s="8">
        <v>300</v>
      </c>
      <c r="I19" s="8">
        <v>1100</v>
      </c>
      <c r="J19" s="8">
        <v>0.06</v>
      </c>
      <c r="K19" s="8">
        <v>0.04</v>
      </c>
      <c r="L19" s="8">
        <v>113.636363636364</v>
      </c>
      <c r="M19" s="8" t="s">
        <v>24</v>
      </c>
      <c r="N19" s="8">
        <v>0</v>
      </c>
      <c r="O19" s="8" t="s">
        <v>31</v>
      </c>
      <c r="P19" s="8">
        <v>71.5</v>
      </c>
      <c r="Q19" s="8">
        <v>860</v>
      </c>
      <c r="R19" s="8">
        <v>881</v>
      </c>
      <c r="S19" s="8">
        <v>8.5</v>
      </c>
      <c r="T19" s="8">
        <v>2</v>
      </c>
      <c r="U19" s="8">
        <v>790</v>
      </c>
      <c r="V19" s="9" t="s">
        <v>32</v>
      </c>
    </row>
    <row r="20" ht="14.5" spans="1:22">
      <c r="A20" s="5">
        <v>19</v>
      </c>
      <c r="B20" s="8">
        <v>76</v>
      </c>
      <c r="C20" s="8">
        <v>18</v>
      </c>
      <c r="D20" s="8">
        <v>0</v>
      </c>
      <c r="E20" s="8">
        <v>0</v>
      </c>
      <c r="F20" s="8">
        <v>0</v>
      </c>
      <c r="G20" s="8">
        <v>6</v>
      </c>
      <c r="H20" s="8">
        <v>400</v>
      </c>
      <c r="I20" s="8">
        <v>900</v>
      </c>
      <c r="J20" s="8">
        <v>0.06</v>
      </c>
      <c r="K20" s="8">
        <v>0.04</v>
      </c>
      <c r="L20" s="8">
        <v>185.185185185185</v>
      </c>
      <c r="M20" s="8" t="s">
        <v>24</v>
      </c>
      <c r="N20" s="8">
        <v>0</v>
      </c>
      <c r="O20" s="8" t="s">
        <v>31</v>
      </c>
      <c r="P20" s="8">
        <v>62.4</v>
      </c>
      <c r="Q20" s="8">
        <v>558</v>
      </c>
      <c r="R20" s="8">
        <v>564</v>
      </c>
      <c r="S20" s="8">
        <v>9.9</v>
      </c>
      <c r="T20" s="8">
        <v>1.5</v>
      </c>
      <c r="U20" s="8">
        <v>477</v>
      </c>
      <c r="V20" s="9" t="s">
        <v>32</v>
      </c>
    </row>
    <row r="21" ht="14.5" spans="1:22">
      <c r="A21" s="5">
        <v>20</v>
      </c>
      <c r="B21" s="8">
        <v>53</v>
      </c>
      <c r="C21" s="8">
        <v>0</v>
      </c>
      <c r="D21" s="8">
        <v>34</v>
      </c>
      <c r="E21" s="8">
        <v>0</v>
      </c>
      <c r="F21" s="8">
        <v>13</v>
      </c>
      <c r="G21" s="8">
        <v>0</v>
      </c>
      <c r="H21" s="8">
        <v>300</v>
      </c>
      <c r="I21" s="8">
        <v>500</v>
      </c>
      <c r="J21" s="8">
        <v>0.03</v>
      </c>
      <c r="K21" s="8">
        <v>0.02</v>
      </c>
      <c r="L21" s="8">
        <v>1000</v>
      </c>
      <c r="M21" s="8" t="s">
        <v>33</v>
      </c>
      <c r="N21" s="8">
        <v>0</v>
      </c>
      <c r="O21" s="8">
        <v>99.98</v>
      </c>
      <c r="P21" s="8">
        <v>52</v>
      </c>
      <c r="Q21" s="8">
        <v>610</v>
      </c>
      <c r="R21" s="8">
        <v>681</v>
      </c>
      <c r="S21" s="8">
        <v>14.1</v>
      </c>
      <c r="T21" s="8">
        <v>2</v>
      </c>
      <c r="U21" s="8">
        <v>465</v>
      </c>
      <c r="V21" s="9" t="s">
        <v>34</v>
      </c>
    </row>
    <row r="22" ht="14.5" spans="1:22">
      <c r="A22" s="5">
        <v>21</v>
      </c>
      <c r="B22" s="8">
        <v>44</v>
      </c>
      <c r="C22" s="8">
        <v>0</v>
      </c>
      <c r="D22" s="8">
        <v>34</v>
      </c>
      <c r="E22" s="8">
        <v>0</v>
      </c>
      <c r="F22" s="8">
        <v>13</v>
      </c>
      <c r="G22" s="8">
        <v>9</v>
      </c>
      <c r="H22" s="8">
        <v>300</v>
      </c>
      <c r="I22" s="8">
        <v>500</v>
      </c>
      <c r="J22" s="8">
        <v>0.03</v>
      </c>
      <c r="K22" s="8">
        <v>0.02</v>
      </c>
      <c r="L22" s="8">
        <v>1000</v>
      </c>
      <c r="M22" s="8" t="s">
        <v>33</v>
      </c>
      <c r="N22" s="8">
        <v>0</v>
      </c>
      <c r="O22" s="8">
        <v>99.97</v>
      </c>
      <c r="P22" s="8">
        <v>66</v>
      </c>
      <c r="Q22" s="8">
        <v>741</v>
      </c>
      <c r="R22" s="8">
        <v>772</v>
      </c>
      <c r="S22" s="8">
        <v>11.4</v>
      </c>
      <c r="T22" s="8">
        <v>2</v>
      </c>
      <c r="U22" s="8">
        <v>564</v>
      </c>
      <c r="V22" s="9" t="s">
        <v>34</v>
      </c>
    </row>
    <row r="23" ht="14.5" spans="1:22">
      <c r="A23" s="5">
        <v>22</v>
      </c>
      <c r="B23" s="8">
        <v>48</v>
      </c>
      <c r="C23" s="8">
        <v>0</v>
      </c>
      <c r="D23" s="8">
        <v>34</v>
      </c>
      <c r="E23" s="8">
        <v>0</v>
      </c>
      <c r="F23" s="8">
        <v>13</v>
      </c>
      <c r="G23" s="8">
        <v>5</v>
      </c>
      <c r="H23" s="8">
        <v>300</v>
      </c>
      <c r="I23" s="8">
        <v>500</v>
      </c>
      <c r="J23" s="8">
        <v>0.03</v>
      </c>
      <c r="K23" s="8">
        <v>0.02</v>
      </c>
      <c r="L23" s="8">
        <v>1000</v>
      </c>
      <c r="M23" s="8" t="s">
        <v>33</v>
      </c>
      <c r="N23" s="8">
        <v>0</v>
      </c>
      <c r="O23" s="8">
        <v>99.99</v>
      </c>
      <c r="P23" s="8">
        <v>57</v>
      </c>
      <c r="Q23" s="8">
        <v>650</v>
      </c>
      <c r="R23" s="8">
        <v>698</v>
      </c>
      <c r="S23" s="8">
        <v>13.7</v>
      </c>
      <c r="T23" s="8">
        <v>2</v>
      </c>
      <c r="U23" s="8">
        <v>472</v>
      </c>
      <c r="V23" s="9" t="s">
        <v>34</v>
      </c>
    </row>
    <row r="24" ht="14.5" spans="1:22">
      <c r="A24" s="5">
        <v>23</v>
      </c>
      <c r="B24" s="8">
        <v>65</v>
      </c>
      <c r="C24" s="8">
        <v>0</v>
      </c>
      <c r="D24" s="8">
        <v>35</v>
      </c>
      <c r="E24" s="8">
        <v>0</v>
      </c>
      <c r="F24" s="8">
        <v>0</v>
      </c>
      <c r="G24" s="8">
        <v>0</v>
      </c>
      <c r="H24" s="8">
        <v>200</v>
      </c>
      <c r="I24" s="8">
        <v>500</v>
      </c>
      <c r="J24" s="8">
        <v>0.1</v>
      </c>
      <c r="K24" s="8">
        <v>0.05</v>
      </c>
      <c r="L24" s="8">
        <v>80</v>
      </c>
      <c r="M24" s="8" t="s">
        <v>24</v>
      </c>
      <c r="N24" s="8">
        <v>90</v>
      </c>
      <c r="O24" s="8">
        <v>99</v>
      </c>
      <c r="P24" s="8">
        <v>84</v>
      </c>
      <c r="Q24" s="8">
        <v>648</v>
      </c>
      <c r="R24" s="8">
        <v>803</v>
      </c>
      <c r="S24" s="8">
        <v>3.9</v>
      </c>
      <c r="T24" s="8">
        <v>3</v>
      </c>
      <c r="U24" s="8">
        <v>752</v>
      </c>
      <c r="V24" s="9" t="s">
        <v>35</v>
      </c>
    </row>
    <row r="25" ht="14.5" spans="1:22">
      <c r="A25" s="5">
        <v>24</v>
      </c>
      <c r="B25" s="8">
        <v>74</v>
      </c>
      <c r="C25" s="8">
        <v>0</v>
      </c>
      <c r="D25" s="8">
        <v>13</v>
      </c>
      <c r="E25" s="8">
        <v>0</v>
      </c>
      <c r="F25" s="8">
        <v>0</v>
      </c>
      <c r="G25" s="8">
        <v>13</v>
      </c>
      <c r="H25" s="8">
        <v>325</v>
      </c>
      <c r="I25" s="8">
        <v>1000</v>
      </c>
      <c r="J25" s="8">
        <v>0.12</v>
      </c>
      <c r="K25" s="8">
        <v>0.03</v>
      </c>
      <c r="L25" s="8">
        <v>90.2777777777778</v>
      </c>
      <c r="M25" s="8" t="s">
        <v>24</v>
      </c>
      <c r="N25" s="8">
        <v>60</v>
      </c>
      <c r="O25" s="8" t="s">
        <v>31</v>
      </c>
      <c r="P25" s="8">
        <v>65</v>
      </c>
      <c r="Q25" s="8">
        <v>794</v>
      </c>
      <c r="R25" s="8">
        <v>996</v>
      </c>
      <c r="S25" s="8">
        <v>5</v>
      </c>
      <c r="T25" s="8">
        <v>4.2</v>
      </c>
      <c r="U25" s="8">
        <v>571</v>
      </c>
      <c r="V25" s="9" t="s">
        <v>36</v>
      </c>
    </row>
    <row r="26" ht="14.5" spans="1:22">
      <c r="A26" s="5">
        <v>25</v>
      </c>
      <c r="B26" s="8">
        <v>90</v>
      </c>
      <c r="C26" s="8">
        <v>0</v>
      </c>
      <c r="D26" s="8">
        <v>10</v>
      </c>
      <c r="E26" s="8">
        <v>0</v>
      </c>
      <c r="F26" s="8">
        <v>0</v>
      </c>
      <c r="G26" s="8">
        <v>0</v>
      </c>
      <c r="H26" s="8">
        <v>265</v>
      </c>
      <c r="I26" s="8">
        <v>700</v>
      </c>
      <c r="J26" s="8">
        <v>0.12</v>
      </c>
      <c r="K26" s="8">
        <v>0.04</v>
      </c>
      <c r="L26" s="8">
        <v>78.8690476190476</v>
      </c>
      <c r="M26" s="8" t="s">
        <v>24</v>
      </c>
      <c r="N26" s="8">
        <v>67</v>
      </c>
      <c r="O26" s="8">
        <v>99.18</v>
      </c>
      <c r="P26" s="8">
        <v>78.7</v>
      </c>
      <c r="Q26" s="8">
        <v>613</v>
      </c>
      <c r="R26" s="8">
        <v>718</v>
      </c>
      <c r="S26" s="8">
        <v>22</v>
      </c>
      <c r="T26" s="8">
        <v>5</v>
      </c>
      <c r="U26" s="8">
        <v>516</v>
      </c>
      <c r="V26" s="9" t="s">
        <v>37</v>
      </c>
    </row>
    <row r="27" ht="14.5" spans="1:22">
      <c r="A27" s="5">
        <v>26</v>
      </c>
      <c r="B27" s="8">
        <v>62</v>
      </c>
      <c r="C27" s="8">
        <v>0</v>
      </c>
      <c r="D27" s="8">
        <v>30</v>
      </c>
      <c r="E27" s="8">
        <v>0</v>
      </c>
      <c r="F27" s="8">
        <v>5</v>
      </c>
      <c r="G27" s="8">
        <v>3</v>
      </c>
      <c r="H27" s="8">
        <v>200</v>
      </c>
      <c r="I27" s="8">
        <v>333</v>
      </c>
      <c r="J27" s="8">
        <v>0.11</v>
      </c>
      <c r="K27" s="8">
        <v>0.05</v>
      </c>
      <c r="L27" s="8">
        <v>109.200109200109</v>
      </c>
      <c r="M27" s="8" t="s">
        <v>31</v>
      </c>
      <c r="N27" s="8" t="s">
        <v>31</v>
      </c>
      <c r="O27" s="8">
        <v>99.2</v>
      </c>
      <c r="P27" s="8">
        <v>64.2</v>
      </c>
      <c r="Q27" s="8">
        <v>645</v>
      </c>
      <c r="R27" s="8">
        <v>680</v>
      </c>
      <c r="S27" s="8">
        <v>15.3</v>
      </c>
      <c r="T27" s="8">
        <v>6</v>
      </c>
      <c r="U27" s="8">
        <v>601</v>
      </c>
      <c r="V27" s="9" t="s">
        <v>38</v>
      </c>
    </row>
    <row r="28" ht="14.5" spans="1:22">
      <c r="A28" s="5">
        <v>27</v>
      </c>
      <c r="B28" s="8">
        <v>53.5</v>
      </c>
      <c r="C28" s="8">
        <v>3.5</v>
      </c>
      <c r="D28" s="8">
        <v>27.5</v>
      </c>
      <c r="E28" s="8">
        <v>4.5</v>
      </c>
      <c r="F28" s="8">
        <v>8.5</v>
      </c>
      <c r="G28" s="8">
        <v>2.5</v>
      </c>
      <c r="H28" s="8">
        <v>100</v>
      </c>
      <c r="I28" s="8">
        <v>560</v>
      </c>
      <c r="J28" s="8">
        <v>0.091</v>
      </c>
      <c r="K28" s="8">
        <v>0.03</v>
      </c>
      <c r="L28" s="8">
        <v>65.410779696494</v>
      </c>
      <c r="M28" s="8" t="s">
        <v>31</v>
      </c>
      <c r="N28" s="8" t="s">
        <v>31</v>
      </c>
      <c r="O28" s="8" t="s">
        <v>31</v>
      </c>
      <c r="P28" s="8">
        <v>75</v>
      </c>
      <c r="Q28" s="8">
        <v>905</v>
      </c>
      <c r="R28" s="8">
        <v>932</v>
      </c>
      <c r="S28" s="8">
        <v>8.5</v>
      </c>
      <c r="T28" s="8">
        <v>2</v>
      </c>
      <c r="U28" s="8">
        <v>798</v>
      </c>
      <c r="V28" s="9" t="s">
        <v>39</v>
      </c>
    </row>
    <row r="29" ht="14.5" spans="1:22">
      <c r="A29" s="5">
        <v>28</v>
      </c>
      <c r="B29" s="8">
        <v>53.5</v>
      </c>
      <c r="C29" s="8">
        <v>3.5</v>
      </c>
      <c r="D29" s="8">
        <v>27.5</v>
      </c>
      <c r="E29" s="8">
        <v>4.5</v>
      </c>
      <c r="F29" s="8">
        <v>8.5</v>
      </c>
      <c r="G29" s="8">
        <v>2.5</v>
      </c>
      <c r="H29" s="8">
        <v>200</v>
      </c>
      <c r="I29" s="8">
        <v>622</v>
      </c>
      <c r="J29" s="8">
        <v>0.091</v>
      </c>
      <c r="K29" s="8">
        <v>0.03</v>
      </c>
      <c r="L29" s="8">
        <v>117.781468263783</v>
      </c>
      <c r="M29" s="8" t="s">
        <v>31</v>
      </c>
      <c r="N29" s="8" t="s">
        <v>31</v>
      </c>
      <c r="O29" s="8" t="s">
        <v>31</v>
      </c>
      <c r="P29" s="8">
        <v>78</v>
      </c>
      <c r="Q29" s="8">
        <v>895</v>
      </c>
      <c r="R29" s="8">
        <v>895</v>
      </c>
      <c r="S29" s="8">
        <v>19</v>
      </c>
      <c r="T29" s="8">
        <v>2</v>
      </c>
      <c r="U29" s="8">
        <v>670</v>
      </c>
      <c r="V29" s="9" t="s">
        <v>39</v>
      </c>
    </row>
    <row r="30" ht="14.5" spans="1:22">
      <c r="A30" s="5">
        <v>29</v>
      </c>
      <c r="B30" s="8">
        <v>53.5</v>
      </c>
      <c r="C30" s="8">
        <v>3.5</v>
      </c>
      <c r="D30" s="8">
        <v>27.5</v>
      </c>
      <c r="E30" s="8">
        <v>4.5</v>
      </c>
      <c r="F30" s="8">
        <v>8.5</v>
      </c>
      <c r="G30" s="8">
        <v>2.5</v>
      </c>
      <c r="H30" s="8">
        <v>300</v>
      </c>
      <c r="I30" s="8">
        <v>700</v>
      </c>
      <c r="J30" s="8">
        <v>0.091</v>
      </c>
      <c r="K30" s="8">
        <v>0.03</v>
      </c>
      <c r="L30" s="8">
        <v>156.985871271586</v>
      </c>
      <c r="M30" s="8" t="s">
        <v>31</v>
      </c>
      <c r="N30" s="8" t="s">
        <v>31</v>
      </c>
      <c r="O30" s="8" t="s">
        <v>31</v>
      </c>
      <c r="P30" s="8">
        <v>65</v>
      </c>
      <c r="Q30" s="8">
        <v>835</v>
      </c>
      <c r="R30" s="8">
        <v>835</v>
      </c>
      <c r="S30" s="8">
        <v>21</v>
      </c>
      <c r="T30" s="8">
        <v>2</v>
      </c>
      <c r="U30" s="8">
        <v>525</v>
      </c>
      <c r="V30" s="9" t="s">
        <v>39</v>
      </c>
    </row>
    <row r="31" ht="14.5" spans="1:22">
      <c r="A31" s="5">
        <v>30</v>
      </c>
      <c r="B31" s="8">
        <v>65</v>
      </c>
      <c r="C31" s="8">
        <v>0</v>
      </c>
      <c r="D31" s="8">
        <v>24</v>
      </c>
      <c r="E31" s="8">
        <v>7</v>
      </c>
      <c r="F31" s="8">
        <v>0</v>
      </c>
      <c r="G31" s="8">
        <v>4</v>
      </c>
      <c r="H31" s="8">
        <v>200</v>
      </c>
      <c r="I31" s="8">
        <v>550</v>
      </c>
      <c r="J31" s="8">
        <v>0.1</v>
      </c>
      <c r="K31" s="8">
        <v>0.01</v>
      </c>
      <c r="L31" s="8">
        <v>363.636363636364</v>
      </c>
      <c r="M31" s="8" t="s">
        <v>31</v>
      </c>
      <c r="N31" s="8" t="s">
        <v>31</v>
      </c>
      <c r="O31" s="8">
        <v>99.3</v>
      </c>
      <c r="P31" s="8">
        <v>53</v>
      </c>
      <c r="Q31" s="8">
        <v>563</v>
      </c>
      <c r="R31" s="8">
        <v>665</v>
      </c>
      <c r="S31" s="8">
        <v>13.8</v>
      </c>
      <c r="T31" s="8">
        <v>2</v>
      </c>
      <c r="U31" s="8">
        <v>590</v>
      </c>
      <c r="V31" s="9" t="s">
        <v>40</v>
      </c>
    </row>
    <row r="32" ht="14.5" spans="1:22">
      <c r="A32" s="5">
        <v>31</v>
      </c>
      <c r="B32" s="8">
        <v>79</v>
      </c>
      <c r="C32" s="8">
        <v>0</v>
      </c>
      <c r="D32" s="8">
        <v>20</v>
      </c>
      <c r="E32" s="8">
        <v>0</v>
      </c>
      <c r="F32" s="8">
        <v>1</v>
      </c>
      <c r="G32" s="8">
        <v>0</v>
      </c>
      <c r="H32" s="8">
        <v>180</v>
      </c>
      <c r="I32" s="8">
        <v>1200</v>
      </c>
      <c r="J32" s="8">
        <v>0.08</v>
      </c>
      <c r="K32" s="8">
        <v>0.03</v>
      </c>
      <c r="L32" s="8">
        <v>62.5</v>
      </c>
      <c r="M32" s="8" t="s">
        <v>24</v>
      </c>
      <c r="N32" s="8">
        <v>67</v>
      </c>
      <c r="O32" s="8" t="s">
        <v>31</v>
      </c>
      <c r="P32" s="8">
        <v>43</v>
      </c>
      <c r="Q32" s="8">
        <v>463</v>
      </c>
      <c r="R32" s="8">
        <v>668</v>
      </c>
      <c r="S32" s="8">
        <v>32.4</v>
      </c>
      <c r="T32" s="8">
        <v>13</v>
      </c>
      <c r="U32" s="8">
        <v>330</v>
      </c>
      <c r="V32" s="10" t="s">
        <v>41</v>
      </c>
    </row>
    <row r="33" ht="14.5" spans="1:22">
      <c r="A33" s="5">
        <v>32</v>
      </c>
      <c r="B33" s="8">
        <v>78</v>
      </c>
      <c r="C33" s="8">
        <v>1</v>
      </c>
      <c r="D33" s="8">
        <v>20</v>
      </c>
      <c r="E33" s="8">
        <v>0</v>
      </c>
      <c r="F33" s="8">
        <v>1</v>
      </c>
      <c r="G33" s="8">
        <v>0</v>
      </c>
      <c r="H33" s="8">
        <v>180</v>
      </c>
      <c r="I33" s="8">
        <v>1200</v>
      </c>
      <c r="J33" s="8">
        <v>0.08</v>
      </c>
      <c r="K33" s="8">
        <v>0.03</v>
      </c>
      <c r="L33" s="8">
        <v>62.5</v>
      </c>
      <c r="M33" s="8" t="s">
        <v>24</v>
      </c>
      <c r="N33" s="8">
        <v>67</v>
      </c>
      <c r="O33" s="8" t="s">
        <v>31</v>
      </c>
      <c r="P33" s="8">
        <v>48</v>
      </c>
      <c r="Q33" s="8">
        <v>461</v>
      </c>
      <c r="R33" s="8">
        <v>715</v>
      </c>
      <c r="S33" s="8">
        <v>30</v>
      </c>
      <c r="T33" s="8">
        <v>14</v>
      </c>
      <c r="U33" s="8">
        <v>439</v>
      </c>
      <c r="V33" s="10" t="s">
        <v>41</v>
      </c>
    </row>
    <row r="34" ht="14.5" spans="1:22">
      <c r="A34" s="5">
        <v>33</v>
      </c>
      <c r="B34" s="8">
        <v>76</v>
      </c>
      <c r="C34" s="8">
        <v>3</v>
      </c>
      <c r="D34" s="8">
        <v>20</v>
      </c>
      <c r="E34" s="8">
        <v>0</v>
      </c>
      <c r="F34" s="8">
        <v>1</v>
      </c>
      <c r="G34" s="8">
        <v>0</v>
      </c>
      <c r="H34" s="8">
        <v>210</v>
      </c>
      <c r="I34" s="8">
        <v>1000</v>
      </c>
      <c r="J34" s="8">
        <v>0.08</v>
      </c>
      <c r="K34" s="8">
        <v>0.03</v>
      </c>
      <c r="L34" s="8">
        <v>87.5</v>
      </c>
      <c r="M34" s="8" t="s">
        <v>24</v>
      </c>
      <c r="N34" s="8">
        <v>67</v>
      </c>
      <c r="O34" s="8" t="s">
        <v>31</v>
      </c>
      <c r="P34" s="8">
        <v>71</v>
      </c>
      <c r="Q34" s="8">
        <v>517</v>
      </c>
      <c r="R34" s="8">
        <v>708</v>
      </c>
      <c r="S34" s="8">
        <v>31.4</v>
      </c>
      <c r="T34" s="8">
        <v>18</v>
      </c>
      <c r="U34" s="8">
        <v>547</v>
      </c>
      <c r="V34" s="10" t="s">
        <v>41</v>
      </c>
    </row>
    <row r="35" ht="14.5" spans="1:22">
      <c r="A35" s="5">
        <v>34</v>
      </c>
      <c r="B35" s="8">
        <v>73</v>
      </c>
      <c r="C35" s="8">
        <v>6</v>
      </c>
      <c r="D35" s="8">
        <v>20</v>
      </c>
      <c r="E35" s="8">
        <v>0</v>
      </c>
      <c r="F35" s="8">
        <v>1</v>
      </c>
      <c r="G35" s="8">
        <v>0</v>
      </c>
      <c r="H35" s="8">
        <v>240</v>
      </c>
      <c r="I35" s="8">
        <v>1200</v>
      </c>
      <c r="J35" s="8">
        <v>0.08</v>
      </c>
      <c r="K35" s="8">
        <v>0.03</v>
      </c>
      <c r="L35" s="8">
        <v>83.3333333333333</v>
      </c>
      <c r="M35" s="8" t="s">
        <v>24</v>
      </c>
      <c r="N35" s="8">
        <v>67</v>
      </c>
      <c r="O35" s="8" t="s">
        <v>31</v>
      </c>
      <c r="P35" s="8">
        <v>77</v>
      </c>
      <c r="Q35" s="8">
        <v>429</v>
      </c>
      <c r="R35" s="8">
        <v>678</v>
      </c>
      <c r="S35" s="8">
        <v>43</v>
      </c>
      <c r="T35" s="8">
        <v>25</v>
      </c>
      <c r="U35" s="8">
        <v>461</v>
      </c>
      <c r="V35" s="10" t="s">
        <v>41</v>
      </c>
    </row>
    <row r="36" ht="14.5" spans="1:22">
      <c r="A36" s="5">
        <v>35</v>
      </c>
      <c r="B36" s="8">
        <v>73.3</v>
      </c>
      <c r="C36" s="8">
        <v>0</v>
      </c>
      <c r="D36" s="8">
        <v>23</v>
      </c>
      <c r="E36" s="8">
        <v>0</v>
      </c>
      <c r="F36" s="8">
        <v>0.7</v>
      </c>
      <c r="G36" s="8">
        <v>3</v>
      </c>
      <c r="H36" s="8">
        <v>180</v>
      </c>
      <c r="I36" s="8">
        <v>1000</v>
      </c>
      <c r="J36" s="8">
        <v>0.08</v>
      </c>
      <c r="K36" s="8">
        <v>0.03</v>
      </c>
      <c r="L36" s="8">
        <v>75</v>
      </c>
      <c r="M36" s="8" t="s">
        <v>24</v>
      </c>
      <c r="N36" s="8">
        <v>67</v>
      </c>
      <c r="O36" s="8" t="s">
        <v>31</v>
      </c>
      <c r="P36" s="8">
        <v>41</v>
      </c>
      <c r="Q36" s="8">
        <v>463</v>
      </c>
      <c r="R36" s="8">
        <v>710</v>
      </c>
      <c r="S36" s="8">
        <v>24</v>
      </c>
      <c r="T36" s="8">
        <v>15</v>
      </c>
      <c r="U36" s="8">
        <v>237</v>
      </c>
      <c r="V36" s="10" t="s">
        <v>41</v>
      </c>
    </row>
    <row r="37" ht="14.5" spans="1:22">
      <c r="A37" s="5">
        <v>36</v>
      </c>
      <c r="B37" s="8">
        <v>76</v>
      </c>
      <c r="C37" s="8">
        <v>0</v>
      </c>
      <c r="D37" s="8">
        <v>20</v>
      </c>
      <c r="E37" s="8">
        <v>4</v>
      </c>
      <c r="F37" s="8">
        <v>0</v>
      </c>
      <c r="G37" s="8">
        <v>0</v>
      </c>
      <c r="H37" s="8">
        <v>150</v>
      </c>
      <c r="I37" s="8">
        <v>1200</v>
      </c>
      <c r="J37" s="8">
        <v>0.08</v>
      </c>
      <c r="K37" s="8">
        <v>0.03</v>
      </c>
      <c r="L37" s="8">
        <v>52.0833333333333</v>
      </c>
      <c r="M37" s="8" t="s">
        <v>24</v>
      </c>
      <c r="N37" s="8">
        <v>67</v>
      </c>
      <c r="O37" s="8" t="s">
        <v>31</v>
      </c>
      <c r="P37" s="8">
        <v>51</v>
      </c>
      <c r="Q37" s="8">
        <v>500</v>
      </c>
      <c r="R37" s="8">
        <v>717</v>
      </c>
      <c r="S37" s="8">
        <v>25</v>
      </c>
      <c r="T37" s="8">
        <v>11</v>
      </c>
      <c r="U37" s="8">
        <v>379</v>
      </c>
      <c r="V37" s="10" t="s">
        <v>41</v>
      </c>
    </row>
    <row r="38" ht="14.5" spans="1:22">
      <c r="A38" s="5">
        <v>37</v>
      </c>
      <c r="B38" s="8">
        <v>73</v>
      </c>
      <c r="C38" s="8">
        <v>3</v>
      </c>
      <c r="D38" s="8">
        <v>20</v>
      </c>
      <c r="E38" s="8">
        <v>4</v>
      </c>
      <c r="F38" s="8">
        <v>0</v>
      </c>
      <c r="G38" s="8">
        <v>0</v>
      </c>
      <c r="H38" s="8">
        <v>150</v>
      </c>
      <c r="I38" s="8">
        <v>1200</v>
      </c>
      <c r="J38" s="8">
        <v>0.08</v>
      </c>
      <c r="K38" s="8">
        <v>0.03</v>
      </c>
      <c r="L38" s="8">
        <v>52.0833333333333</v>
      </c>
      <c r="M38" s="8" t="s">
        <v>24</v>
      </c>
      <c r="N38" s="8">
        <v>67</v>
      </c>
      <c r="O38" s="8" t="s">
        <v>31</v>
      </c>
      <c r="P38" s="8">
        <v>51</v>
      </c>
      <c r="Q38" s="8">
        <v>473</v>
      </c>
      <c r="R38" s="8">
        <v>732</v>
      </c>
      <c r="S38" s="8">
        <v>23.7</v>
      </c>
      <c r="T38" s="8">
        <v>11</v>
      </c>
      <c r="U38" s="8">
        <v>395</v>
      </c>
      <c r="V38" s="10" t="s">
        <v>41</v>
      </c>
    </row>
    <row r="39" ht="14.5" spans="1:22">
      <c r="A39" s="5">
        <v>38</v>
      </c>
      <c r="B39" s="8">
        <v>70</v>
      </c>
      <c r="C39" s="8">
        <v>6</v>
      </c>
      <c r="D39" s="8">
        <v>20</v>
      </c>
      <c r="E39" s="8">
        <v>4</v>
      </c>
      <c r="F39" s="8">
        <v>0</v>
      </c>
      <c r="G39" s="8">
        <v>0</v>
      </c>
      <c r="H39" s="8">
        <v>150</v>
      </c>
      <c r="I39" s="8">
        <v>1200</v>
      </c>
      <c r="J39" s="8">
        <v>0.08</v>
      </c>
      <c r="K39" s="8">
        <v>0.03</v>
      </c>
      <c r="L39" s="8">
        <v>52.0833333333333</v>
      </c>
      <c r="M39" s="8" t="s">
        <v>24</v>
      </c>
      <c r="N39" s="8">
        <v>67</v>
      </c>
      <c r="O39" s="8" t="s">
        <v>31</v>
      </c>
      <c r="P39" s="8">
        <v>54</v>
      </c>
      <c r="Q39" s="8">
        <v>493</v>
      </c>
      <c r="R39" s="8">
        <v>723</v>
      </c>
      <c r="S39" s="8">
        <v>23.7</v>
      </c>
      <c r="T39" s="8">
        <v>10</v>
      </c>
      <c r="U39" s="8">
        <v>541</v>
      </c>
      <c r="V39" s="10" t="s">
        <v>41</v>
      </c>
    </row>
    <row r="40" ht="14.5" spans="1:22">
      <c r="A40" s="5">
        <v>39</v>
      </c>
      <c r="B40" s="8">
        <v>64</v>
      </c>
      <c r="C40" s="8">
        <v>0</v>
      </c>
      <c r="D40" s="8">
        <v>12</v>
      </c>
      <c r="E40" s="8">
        <v>12</v>
      </c>
      <c r="F40" s="8">
        <v>0</v>
      </c>
      <c r="G40" s="8">
        <v>12</v>
      </c>
      <c r="H40" s="8">
        <v>180</v>
      </c>
      <c r="I40" s="8">
        <v>1200</v>
      </c>
      <c r="J40" s="8">
        <v>0.08</v>
      </c>
      <c r="K40" s="8">
        <v>0.03</v>
      </c>
      <c r="L40" s="8">
        <v>62.5</v>
      </c>
      <c r="M40" s="8" t="s">
        <v>24</v>
      </c>
      <c r="N40" s="8">
        <v>67</v>
      </c>
      <c r="O40" s="8" t="s">
        <v>31</v>
      </c>
      <c r="P40" s="8">
        <v>59</v>
      </c>
      <c r="Q40" s="8">
        <v>789</v>
      </c>
      <c r="R40" s="8">
        <v>878</v>
      </c>
      <c r="S40" s="8">
        <v>5.64</v>
      </c>
      <c r="T40" s="8">
        <v>5</v>
      </c>
      <c r="U40" s="8">
        <v>850</v>
      </c>
      <c r="V40" s="10" t="s">
        <v>41</v>
      </c>
    </row>
    <row r="41" ht="14.5" spans="1:22">
      <c r="A41" s="5">
        <v>40</v>
      </c>
      <c r="B41" s="8">
        <v>57</v>
      </c>
      <c r="C41" s="8">
        <v>7</v>
      </c>
      <c r="D41" s="8">
        <v>12</v>
      </c>
      <c r="E41" s="8">
        <v>12</v>
      </c>
      <c r="F41" s="8">
        <v>0</v>
      </c>
      <c r="G41" s="8">
        <v>12</v>
      </c>
      <c r="H41" s="8">
        <v>240</v>
      </c>
      <c r="I41" s="8">
        <v>1000</v>
      </c>
      <c r="J41" s="8">
        <v>0.08</v>
      </c>
      <c r="K41" s="8">
        <v>0.03</v>
      </c>
      <c r="L41" s="8">
        <v>100</v>
      </c>
      <c r="M41" s="8" t="s">
        <v>24</v>
      </c>
      <c r="N41" s="8">
        <v>67</v>
      </c>
      <c r="O41" s="8" t="s">
        <v>31</v>
      </c>
      <c r="P41" s="8">
        <v>81</v>
      </c>
      <c r="Q41" s="8">
        <v>937</v>
      </c>
      <c r="R41" s="8">
        <v>967</v>
      </c>
      <c r="S41" s="8">
        <v>15.5</v>
      </c>
      <c r="T41" s="8">
        <v>2</v>
      </c>
      <c r="U41" s="8">
        <v>777</v>
      </c>
      <c r="V41" s="10" t="s">
        <v>41</v>
      </c>
    </row>
    <row r="42" ht="14.5" spans="1:22">
      <c r="A42" s="5">
        <v>41</v>
      </c>
      <c r="B42" s="8">
        <v>64</v>
      </c>
      <c r="C42" s="8">
        <v>0</v>
      </c>
      <c r="D42" s="8">
        <v>24</v>
      </c>
      <c r="E42" s="8">
        <v>8</v>
      </c>
      <c r="F42" s="8">
        <v>0</v>
      </c>
      <c r="G42" s="8">
        <v>4</v>
      </c>
      <c r="H42" s="8">
        <v>180</v>
      </c>
      <c r="I42" s="8">
        <v>1000</v>
      </c>
      <c r="J42" s="8">
        <v>0.08</v>
      </c>
      <c r="K42" s="8">
        <v>0.03</v>
      </c>
      <c r="L42" s="8">
        <v>75</v>
      </c>
      <c r="M42" s="8" t="s">
        <v>24</v>
      </c>
      <c r="N42" s="8">
        <v>67</v>
      </c>
      <c r="O42" s="8" t="s">
        <v>31</v>
      </c>
      <c r="P42" s="8">
        <v>47</v>
      </c>
      <c r="Q42" s="8">
        <v>573</v>
      </c>
      <c r="R42" s="8">
        <v>678</v>
      </c>
      <c r="S42" s="8">
        <v>17.6</v>
      </c>
      <c r="T42" s="8">
        <v>7</v>
      </c>
      <c r="U42" s="8">
        <v>475</v>
      </c>
      <c r="V42" s="10" t="s">
        <v>41</v>
      </c>
    </row>
    <row r="43" ht="14.5" spans="1:22">
      <c r="A43" s="5">
        <v>42</v>
      </c>
      <c r="B43" s="8">
        <v>61</v>
      </c>
      <c r="C43" s="8">
        <v>3</v>
      </c>
      <c r="D43" s="8">
        <v>24</v>
      </c>
      <c r="E43" s="8">
        <v>8</v>
      </c>
      <c r="F43" s="8">
        <v>0</v>
      </c>
      <c r="G43" s="8">
        <v>4</v>
      </c>
      <c r="H43" s="8">
        <v>180</v>
      </c>
      <c r="I43" s="8">
        <v>1000</v>
      </c>
      <c r="J43" s="8">
        <v>0.08</v>
      </c>
      <c r="K43" s="8">
        <v>0.03</v>
      </c>
      <c r="L43" s="8">
        <v>75</v>
      </c>
      <c r="M43" s="8" t="s">
        <v>24</v>
      </c>
      <c r="N43" s="8">
        <v>67</v>
      </c>
      <c r="O43" s="8" t="s">
        <v>31</v>
      </c>
      <c r="P43" s="8">
        <v>62</v>
      </c>
      <c r="Q43" s="8">
        <v>652</v>
      </c>
      <c r="R43" s="8">
        <v>690</v>
      </c>
      <c r="S43" s="8">
        <v>28</v>
      </c>
      <c r="T43" s="8">
        <v>9</v>
      </c>
      <c r="U43" s="8">
        <v>411</v>
      </c>
      <c r="V43" s="10" t="s">
        <v>41</v>
      </c>
    </row>
    <row r="44" ht="14.5" spans="1:22">
      <c r="A44" s="5">
        <v>43</v>
      </c>
      <c r="B44" s="8">
        <v>58</v>
      </c>
      <c r="C44" s="8">
        <v>6</v>
      </c>
      <c r="D44" s="8">
        <v>24</v>
      </c>
      <c r="E44" s="8">
        <v>8</v>
      </c>
      <c r="F44" s="8">
        <v>0</v>
      </c>
      <c r="G44" s="8">
        <v>4</v>
      </c>
      <c r="H44" s="8">
        <v>180</v>
      </c>
      <c r="I44" s="8">
        <v>1000</v>
      </c>
      <c r="J44" s="8">
        <v>0.08</v>
      </c>
      <c r="K44" s="8">
        <v>0.03</v>
      </c>
      <c r="L44" s="8">
        <v>75</v>
      </c>
      <c r="M44" s="8" t="s">
        <v>24</v>
      </c>
      <c r="N44" s="8">
        <v>67</v>
      </c>
      <c r="O44" s="8" t="s">
        <v>31</v>
      </c>
      <c r="P44" s="8">
        <v>69</v>
      </c>
      <c r="Q44" s="8">
        <v>696</v>
      </c>
      <c r="R44" s="8">
        <v>734</v>
      </c>
      <c r="S44" s="8">
        <v>22.8</v>
      </c>
      <c r="T44" s="8">
        <v>4</v>
      </c>
      <c r="U44" s="8">
        <v>450</v>
      </c>
      <c r="V44" s="10" t="s">
        <v>41</v>
      </c>
    </row>
    <row r="45" ht="14.5" spans="1:22">
      <c r="A45" s="5">
        <v>44</v>
      </c>
      <c r="B45" s="8">
        <v>64</v>
      </c>
      <c r="C45" s="8">
        <v>1</v>
      </c>
      <c r="D45" s="8">
        <v>26</v>
      </c>
      <c r="E45" s="8">
        <v>4</v>
      </c>
      <c r="F45" s="8">
        <v>1</v>
      </c>
      <c r="G45" s="8">
        <v>4</v>
      </c>
      <c r="H45" s="8">
        <v>210</v>
      </c>
      <c r="I45" s="8">
        <v>1000</v>
      </c>
      <c r="J45" s="8">
        <v>0.08</v>
      </c>
      <c r="K45" s="8">
        <v>0.03</v>
      </c>
      <c r="L45" s="8">
        <v>87.5</v>
      </c>
      <c r="M45" s="8" t="s">
        <v>24</v>
      </c>
      <c r="N45" s="8">
        <v>67</v>
      </c>
      <c r="O45" s="8" t="s">
        <v>31</v>
      </c>
      <c r="P45" s="8">
        <v>51</v>
      </c>
      <c r="Q45" s="8">
        <v>444</v>
      </c>
      <c r="R45" s="8">
        <v>621</v>
      </c>
      <c r="S45" s="8">
        <v>25.6</v>
      </c>
      <c r="T45" s="8">
        <v>16</v>
      </c>
      <c r="U45" s="8">
        <v>392</v>
      </c>
      <c r="V45" s="10" t="s">
        <v>41</v>
      </c>
    </row>
    <row r="46" ht="14.5" spans="1:22">
      <c r="A46" s="5">
        <v>45</v>
      </c>
      <c r="B46" s="8">
        <v>62</v>
      </c>
      <c r="C46" s="8">
        <v>3</v>
      </c>
      <c r="D46" s="8">
        <v>26</v>
      </c>
      <c r="E46" s="8">
        <v>4</v>
      </c>
      <c r="F46" s="8">
        <v>1</v>
      </c>
      <c r="G46" s="8">
        <v>4</v>
      </c>
      <c r="H46" s="8">
        <v>210</v>
      </c>
      <c r="I46" s="8">
        <v>1000</v>
      </c>
      <c r="J46" s="8">
        <v>0.08</v>
      </c>
      <c r="K46" s="8">
        <v>0.03</v>
      </c>
      <c r="L46" s="8">
        <v>87.5</v>
      </c>
      <c r="M46" s="8" t="s">
        <v>24</v>
      </c>
      <c r="N46" s="8">
        <v>67</v>
      </c>
      <c r="O46" s="8" t="s">
        <v>31</v>
      </c>
      <c r="P46" s="8">
        <v>43</v>
      </c>
      <c r="Q46" s="8">
        <v>413</v>
      </c>
      <c r="R46" s="8">
        <v>696</v>
      </c>
      <c r="S46" s="8">
        <v>22.4</v>
      </c>
      <c r="T46" s="8">
        <v>11</v>
      </c>
      <c r="U46" s="8">
        <v>458</v>
      </c>
      <c r="V46" s="10" t="s">
        <v>41</v>
      </c>
    </row>
    <row r="47" ht="14.5" spans="1:22">
      <c r="A47" s="5">
        <v>46</v>
      </c>
      <c r="B47" s="11">
        <v>60</v>
      </c>
      <c r="C47" s="11">
        <v>5</v>
      </c>
      <c r="D47" s="11">
        <v>26</v>
      </c>
      <c r="E47" s="11">
        <v>4</v>
      </c>
      <c r="F47" s="11">
        <v>1</v>
      </c>
      <c r="G47" s="11">
        <v>4</v>
      </c>
      <c r="H47" s="11">
        <v>210</v>
      </c>
      <c r="I47" s="11">
        <v>1000</v>
      </c>
      <c r="J47" s="11">
        <v>0.08</v>
      </c>
      <c r="K47" s="11">
        <v>0.03</v>
      </c>
      <c r="L47" s="11">
        <v>87.5</v>
      </c>
      <c r="M47" s="11" t="s">
        <v>24</v>
      </c>
      <c r="N47" s="11">
        <v>67</v>
      </c>
      <c r="O47" s="11" t="s">
        <v>31</v>
      </c>
      <c r="P47" s="11">
        <v>64</v>
      </c>
      <c r="Q47" s="11">
        <v>676</v>
      </c>
      <c r="R47" s="11">
        <v>721</v>
      </c>
      <c r="S47" s="11">
        <v>22.8</v>
      </c>
      <c r="T47" s="11">
        <v>4</v>
      </c>
      <c r="U47" s="11">
        <v>329</v>
      </c>
      <c r="V47" s="12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姜源</cp:lastModifiedBy>
  <dcterms:created xsi:type="dcterms:W3CDTF">2025-10-23T08:23:00Z</dcterms:created>
  <dcterms:modified xsi:type="dcterms:W3CDTF">2026-01-13T07:54:01Z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27C0218619C042258C750B91720EDD70_12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